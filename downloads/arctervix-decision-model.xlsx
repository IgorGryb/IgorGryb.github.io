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c3dce3e5f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bf27ac144f4342"/>
    <x:sheet xmlns:r="http://schemas.openxmlformats.org/officeDocument/2006/relationships" name="Assumptions" sheetId="2" r:id="R0922b84034194fcb"/>
    <x:sheet xmlns:r="http://schemas.openxmlformats.org/officeDocument/2006/relationships" name="Cashflow" sheetId="3" r:id="R31957c1993d9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;(#,##0.00);&quot;-&quot;"/>
    <x:numFmt numFmtId="202" formatCode="0.0%;(0.0%);&quot;-&quot;"/>
    <x:numFmt numFmtId="203" formatCode="General"/>
    <x:numFmt numFmtId="204" formatCode="0.00"/>
    <x:numFmt numFmtId="205" formatCode="0.0000"/>
  </x:numFmts>
  <x:fonts count="7">
    <x:font>
      <x:sz val="11"/>
      <x:name val="Carlito"/>
    </x:font>
    <x:font>
      <x:sz val="10"/>
      <x:color rgb="FF20364C"/>
      <x:name val="Arial"/>
    </x:font>
    <x:font>
      <x:b/>
      <x:sz val="15"/>
      <x:color rgb="FF20364C"/>
      <x:name val="Arial"/>
    </x:font>
    <x:font>
      <x:sz val="10"/>
      <x:color rgb="FF0000CC"/>
      <x:name val="Arial"/>
    </x:font>
    <x:font>
      <x:sz val="10"/>
      <x:color rgb="FF000000"/>
      <x:name val="Arial"/>
    </x:font>
    <x:font>
      <x:sz val="10"/>
      <x:color rgb="FF00804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3"/>
      </x:patternFill>
    </x:fill>
    <x:fill>
      <x:patternFill patternType="solid">
        <x:fgColor rgb="FF20364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B5C2CE"/>
      </x:bottom>
      <x:diagonal/>
    </x:border>
    <x:border>
      <x:left style="dotted">
        <x:color rgb="FF7B8B9A"/>
      </x:left>
      <x:right style="dotted">
        <x:color rgb="FF7B8B9A"/>
      </x:right>
      <x:top style="dotted">
        <x:color rgb="FF7B8B9A"/>
      </x:top>
      <x:bottom style="dotted">
        <x:color rgb="FF7B8B9A"/>
      </x:bottom>
      <x:diagonal/>
    </x:border>
    <x:border>
      <x:left/>
      <x:right/>
      <x:top style="thin">
        <x:color rgb="FF20364C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997a03ed345d2" /><Relationship Type="http://schemas.openxmlformats.org/officeDocument/2006/relationships/theme" Target="/xl/theme/theme1.xml" Id="R214c6c877868454c" /><Relationship Type="http://schemas.openxmlformats.org/officeDocument/2006/relationships/sharedStrings" Target="/xl/sharedStrings.xml" Id="R53e4b65f504047b4" /><Relationship Type="http://schemas.openxmlformats.org/officeDocument/2006/relationships/worksheet" Target="/xl/worksheets/sheet1.xml" Id="R21bf27ac144f4342" /><Relationship Type="http://schemas.openxmlformats.org/officeDocument/2006/relationships/worksheet" Target="/xl/worksheets/sheet2.xml" Id="R0922b84034194fcb" /><Relationship Type="http://schemas.openxmlformats.org/officeDocument/2006/relationships/worksheet" Target="/xl/worksheets/sheet3.xml" Id="R31957c1993d944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1b7b993e434c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Cash and required buffer (EUR thousands)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Cash</c:v>
          </c:tx>
          <c:spPr>
            <a:ln xmlns:a="http://schemas.openxmlformats.org/drawingml/2006/main" w="19050">
              <a:solidFill>
                <a:srgbClr val="20364C"/>
              </a:solidFill>
              <a:prstDash val="solid"/>
            </a:ln>
          </c:spPr>
          <c:marker>
            <c:symbol val="none"/>
          </c:marker>
          <c:cat>
            <c:strRef>
              <c:f>'Summary'!$B$24:$B$29</c:f>
              <c:strCache>
                <c:ptCount val="0"/>
              </c:strCache>
            </c:strRef>
          </c:cat>
          <c:val>
            <c:numRef>
              <c:f>'Summary'!$C$24:$C$29</c:f>
              <c:numCache>
                <c:formatCode>#,##0.00;(#,##0.00);"-"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Buffer</c:v>
          </c:tx>
          <c:spPr>
            <a:ln xmlns:a="http://schemas.openxmlformats.org/drawingml/2006/main" w="19050">
              <a:solidFill>
                <a:srgbClr val="AE7229"/>
              </a:solidFill>
              <a:prstDash val="dash"/>
            </a:ln>
          </c:spPr>
          <c:marker>
            <c:symbol val="none"/>
          </c:marker>
          <c:cat>
            <c:strRef>
              <c:f>'Summary'!$B$24:$B$29</c:f>
              <c:strCache>
                <c:ptCount val="0"/>
              </c:strCache>
            </c:strRef>
          </c:cat>
          <c:val>
            <c:numRef>
              <c:f>'Summary'!$D$24:$D$29</c:f>
              <c:numCache>
                <c:formatCode>#,##0.00;(#,##0.00);"-"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1b7b993e434c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6ebe9d7cd549f6" /></Relationships>
</file>

<file path=xl/worksheets/sheet1.xml><?xml version="1.0" encoding="utf-8"?>
<x:worksheet xmlns:x="http://schemas.openxmlformats.org/spreadsheetml/2006/main">
  <x:sheetPr>
    <x:tabColor rgb="FF20364C"/>
  </x:sheetPr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3" hidden="0" customWidth="1"/>
    <x:col min="4" max="4" width="18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2"/>
      <x:c r="B2" s="3" t="str">
        <x:v>Arctervix financing feasibility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</x:row>
    <x:row r="4" ht="21" customHeight="1">
      <x:c r="A4" s="2"/>
      <x:c r="B4" s="2" t="str">
        <x:v>Case selected</x:v>
      </x:c>
      <x:c r="C4" s="2"/>
      <x:c r="D4" s="19" t="str">
        <x:f>CHOOSE('Assumptions'!E4,"Normal","Restricted")</x:f>
        <x:v>Normal</x:v>
      </x:c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30" t="str">
        <x:v>Decision measures</x:v>
      </x:c>
      <x:c r="C6" s="30"/>
      <x:c r="D6" s="30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 t="str">
        <x:v>Project NPV (EUR thousands)</x:v>
      </x:c>
      <x:c r="C7" s="2"/>
      <x:c r="D7" s="8" t="n">
        <x:f>SUM('Cashflow'!F25:K25)</x:f>
        <x:v>2.6775369292956626</x:v>
      </x:c>
      <x:c r="E7" s="2"/>
      <x:c r="F7" s="2"/>
      <x:c r="G7" s="2"/>
      <x:c r="H7" s="2"/>
      <x:c r="I7" s="2"/>
      <x:c r="J7" s="2"/>
      <x:c r="K7" s="2"/>
      <x:c r="L7" s="2"/>
    </x:row>
    <x:row r="8" ht="21" customHeight="1">
      <x:c r="A8" s="2"/>
      <x:c r="B8" s="2" t="str">
        <x:v>Minimum cash (EUR thousands)</x:v>
      </x:c>
      <x:c r="C8" s="2"/>
      <x:c r="D8" s="8" t="n">
        <x:f>MIN('Cashflow'!F16:K16)</x:f>
        <x:v>14.799999999999997</x:v>
      </x:c>
      <x:c r="E8" s="2"/>
      <x:c r="F8" s="2"/>
      <x:c r="G8" s="2"/>
      <x:c r="H8" s="2"/>
      <x:c r="I8" s="2"/>
      <x:c r="J8" s="2"/>
      <x:c r="K8" s="2"/>
      <x:c r="L8" s="2"/>
    </x:row>
    <x:row r="9" ht="21" customHeight="1">
      <x:c r="A9" s="2"/>
      <x:c r="B9" s="2" t="str">
        <x:v>Funding gap (EUR thousands)</x:v>
      </x:c>
      <x:c r="C9" s="2"/>
      <x:c r="D9" s="8" t="n">
        <x:f>MAX('Cashflow'!F18:K18)</x:f>
        <x:v>0</x:v>
      </x:c>
      <x:c r="E9" s="2"/>
      <x:c r="F9" s="2"/>
      <x:c r="G9" s="2"/>
      <x:c r="H9" s="2"/>
      <x:c r="I9" s="2"/>
      <x:c r="J9" s="2"/>
      <x:c r="K9" s="2"/>
      <x:c r="L9" s="2"/>
    </x:row>
    <x:row r="10" ht="21" customHeight="1">
      <x:c r="A10" s="2"/>
      <x:c r="B10" s="2" t="str">
        <x:v>Ending debt (EUR thousands)</x:v>
      </x:c>
      <x:c r="C10" s="2"/>
      <x:c r="D10" s="8" t="n">
        <x:f>'Cashflow'!K14</x:f>
        <x:v>0</x:v>
      </x:c>
      <x:c r="E10" s="2"/>
      <x:c r="F10" s="2"/>
      <x:c r="G10" s="2"/>
      <x:c r="H10" s="2"/>
      <x:c r="I10" s="2"/>
      <x:c r="J10" s="2"/>
      <x:c r="K10" s="2"/>
      <x:c r="L10" s="2"/>
    </x:row>
    <x:row r="11" ht="21" customHeight="1">
      <x:c r="A11" s="2"/>
      <x:c r="B11" s="2" t="str">
        <x:v>Fixed-plan feasibility</x:v>
      </x:c>
      <x:c r="C11" s="2"/>
      <x:c r="D11" s="8" t="str">
        <x:f>IF(COUNT('Cashflow'!F16:K16)&lt;&gt;6,"Unavailable",IF(SUM('Cashflow'!F20:K20)=0,"Feasible","Infeasible"))</x:f>
        <x:v>Feasible</x:v>
      </x:c>
      <x:c r="E11" s="2"/>
      <x:c r="F11" s="2"/>
      <x:c r="G11" s="2"/>
      <x:c r="H11" s="2"/>
      <x:c r="I11" s="2"/>
      <x:c r="J11" s="2"/>
      <x:c r="K11" s="2"/>
      <x:c r="L11" s="2"/>
    </x:row>
    <x:row r="12" ht="21" customHeight="1">
      <x:c r="A12" s="2"/>
      <x:c r="B12" s="2" t="str">
        <x:v>Strategy</x:v>
      </x:c>
      <x:c r="C12" s="2"/>
      <x:c r="D12" s="8" t="str">
        <x:f>CHOOSE('Assumptions'!E5,"Invest","Stage","Defer","Reject")</x:f>
        <x:v>Stage</x:v>
      </x:c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 t="str">
        <x:v>Funding</x:v>
      </x:c>
      <x:c r="C13" s="2"/>
      <x:c r="D13" s="8" t="str">
        <x:f>CHOOSE('Assumptions'!E6,"Equity","Equity + debt")</x:f>
        <x:v>Equity + debt</x:v>
      </x:c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 t="str">
        <x:v>Period</x:v>
      </x:c>
      <x:c r="C23" s="2" t="str">
        <x:v>Cash</x:v>
      </x:c>
      <x:c r="D23" s="2" t="str">
        <x:v>Buffer</x:v>
      </x:c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 t="str">
        <x:v>t0</x:v>
      </x:c>
      <x:c r="C24" s="8" t="n">
        <x:f>'Cashflow'!F16</x:f>
        <x:v>60</x:v>
      </x:c>
      <x:c r="D24" s="8" t="n">
        <x:f>'Cashflow'!F17</x:f>
        <x:v>10</x:v>
      </x:c>
      <x:c r="E24" s="2"/>
      <x:c r="F24" s="2"/>
      <x:c r="G24" s="2"/>
      <x:c r="H24" s="2"/>
      <x:c r="I24" s="2"/>
      <x:c r="J24" s="2"/>
      <x:c r="K24" s="2"/>
      <x:c r="L24" s="2"/>
    </x:row>
    <x:row r="25" ht="21" customHeight="1">
      <x:c r="A25" s="2"/>
      <x:c r="B25" s="2" t="str">
        <x:v>t1</x:v>
      </x:c>
      <x:c r="C25" s="8" t="n">
        <x:f>'Cashflow'!G16</x:f>
        <x:v>14.799999999999997</x:v>
      </x:c>
      <x:c r="D25" s="8" t="n">
        <x:f>'Cashflow'!G17</x:f>
        <x:v>10</x:v>
      </x:c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 t="str">
        <x:v>t2</x:v>
      </x:c>
      <x:c r="C26" s="8" t="n">
        <x:f>'Cashflow'!H16</x:f>
        <x:v>46.599999999999994</x:v>
      </x:c>
      <x:c r="D26" s="8" t="n">
        <x:f>'Cashflow'!H17</x:f>
        <x:v>10</x:v>
      </x:c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 t="str">
        <x:v>t3</x:v>
      </x:c>
      <x:c r="C27" s="8" t="n">
        <x:f>'Cashflow'!I16</x:f>
        <x:v>78.39999999999999</x:v>
      </x:c>
      <x:c r="D27" s="8" t="n">
        <x:f>'Cashflow'!I17</x:f>
        <x:v>10</x:v>
      </x:c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 t="str">
        <x:v>t4</x:v>
      </x:c>
      <x:c r="C28" s="8" t="n">
        <x:f>'Cashflow'!J16</x:f>
        <x:v>110.19999999999999</x:v>
      </x:c>
      <x:c r="D28" s="8" t="n">
        <x:f>'Cashflow'!J17</x:f>
        <x:v>10</x:v>
      </x:c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 t="str">
        <x:v>t5</x:v>
      </x:c>
      <x:c r="C29" s="8" t="n">
        <x:f>'Cashflow'!K16</x:f>
        <x:v>102</x:v>
      </x:c>
      <x:c r="D29" s="8" t="n">
        <x:f>'Cashflow'!K17</x:f>
        <x:v>10</x:v>
      </x:c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 t="str">
        <x:v>Synthetic financing diagnostic, not a market valuation or investment advice.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 t="str">
        <x:v>Positive project NPV does not establish financeability.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 t="str">
        <x:v>Change assumptions and policy to test one current plan. Historical tests are in the dossier.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pageMargins left="0.7" right="0.7" top="0.75" bottom="0.75" header="0.3" footer="0.3"/>
  <x:drawing xmlns:r="http://schemas.openxmlformats.org/officeDocument/2006/relationships" r:id="R8e6ebe9d7cd549f6"/>
</x:worksheet>
</file>

<file path=xl/worksheets/sheet2.xml><?xml version="1.0" encoding="utf-8"?>
<x:worksheet xmlns:x="http://schemas.openxmlformats.org/spreadsheetml/2006/main">
  <x:sheetPr>
    <x:tabColor rgb="FF647E96"/>
  </x:sheetPr>
  <x:sheetViews>
    <x:sheetView showGridLines="0" workbookViewId="0"/>
  </x:sheetViews>
  <x:sheetFormatPr defaultRowHeight="15"/>
  <x:cols>
    <x:col min="1" max="1" width="3" hidden="0" customWidth="1"/>
    <x:col min="2" max="2" width="41" hidden="0" customWidth="1"/>
    <x:col min="3" max="3" width="3" hidden="0" customWidth="1"/>
    <x:col min="4" max="4" width="3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2"/>
      <x:c r="B2" s="3" t="str">
        <x:v>Arctervix synthetic assumptions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2"/>
      <x:c r="B3" s="4"/>
      <x:c r="C3" s="4"/>
      <x:c r="D3" s="4"/>
      <x:c r="E3" s="4"/>
      <x:c r="F3" s="4"/>
      <x:c r="G3" s="4"/>
      <x:c r="H3" s="4"/>
      <x:c r="I3" s="2"/>
      <x:c r="J3" s="2"/>
      <x:c r="K3" s="2"/>
    </x:row>
    <x:row r="4" ht="21" customHeight="1">
      <x:c r="A4" s="2"/>
      <x:c r="B4" s="2" t="str">
        <x:v>Financing regime (case selector)</x:v>
      </x:c>
      <x:c r="C4" s="2"/>
      <x:c r="D4" s="2"/>
      <x:c r="E4" s="7" t="n">
        <x:v>1</x:v>
      </x:c>
      <x:c r="F4" s="2" t="str">
        <x:v>1 Normal, 2 Restricted</x:v>
      </x:c>
      <x:c r="G4" s="2"/>
      <x:c r="H4" s="2"/>
      <x:c r="I4" s="2"/>
      <x:c r="J4" s="2"/>
      <x:c r="K4" s="2"/>
    </x:row>
    <x:row r="5" ht="21" customHeight="1">
      <x:c r="A5" s="2"/>
      <x:c r="B5" s="2" t="str">
        <x:v>Strategy</x:v>
      </x:c>
      <x:c r="C5" s="2"/>
      <x:c r="D5" s="2"/>
      <x:c r="E5" s="7" t="n">
        <x:v>2</x:v>
      </x:c>
      <x:c r="F5" s="2" t="str">
        <x:v>1 Invest, 2 Stage, 3 Defer, 4 Reject</x:v>
      </x:c>
      <x:c r="G5" s="2"/>
      <x:c r="H5" s="2"/>
      <x:c r="I5" s="2"/>
      <x:c r="J5" s="2"/>
      <x:c r="K5" s="2"/>
    </x:row>
    <x:row r="6" ht="21" customHeight="1">
      <x:c r="A6" s="2"/>
      <x:c r="B6" s="2" t="str">
        <x:v>Funding structure</x:v>
      </x:c>
      <x:c r="C6" s="2"/>
      <x:c r="D6" s="2"/>
      <x:c r="E6" s="7" t="n">
        <x:v>2</x:v>
      </x:c>
      <x:c r="F6" s="2" t="str">
        <x:v>1 Equity, 2 Equity + debt</x:v>
      </x:c>
      <x:c r="G6" s="2"/>
      <x:c r="H6" s="2"/>
      <x:c r="I6" s="2"/>
      <x:c r="J6" s="2"/>
      <x:c r="K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1" customHeight="1">
      <x:c r="A8" s="2"/>
      <x:c r="B8" s="2" t="str">
        <x:v>Equity (EUR thousands)</x:v>
      </x:c>
      <x:c r="C8" s="2"/>
      <x:c r="D8" s="2"/>
      <x:c r="E8" s="10" t="n">
        <x:v>80</x:v>
      </x:c>
      <x:c r="F8" s="2"/>
      <x:c r="G8" s="2"/>
      <x:c r="H8" s="2"/>
      <x:c r="I8" s="2"/>
      <x:c r="J8" s="2"/>
      <x:c r="K8" s="2"/>
    </x:row>
    <x:row r="9" ht="21" customHeight="1">
      <x:c r="A9" s="2"/>
      <x:c r="B9" s="2" t="str">
        <x:v>Minimum cash (EUR thousands)</x:v>
      </x:c>
      <x:c r="C9" s="2"/>
      <x:c r="D9" s="2"/>
      <x:c r="E9" s="10" t="n">
        <x:v>10</x:v>
      </x:c>
      <x:c r="F9" s="2"/>
      <x:c r="G9" s="2"/>
      <x:c r="H9" s="2"/>
      <x:c r="I9" s="2"/>
      <x:c r="J9" s="2"/>
      <x:c r="K9" s="2"/>
    </x:row>
    <x:row r="10" ht="21" customHeight="1">
      <x:c r="A10" s="2"/>
      <x:c r="B10" s="2" t="str">
        <x:v>Discount rate per year</x:v>
      </x:c>
      <x:c r="C10" s="2"/>
      <x:c r="D10" s="2"/>
      <x:c r="E10" s="13" t="n">
        <x:v>0.1</x:v>
      </x:c>
      <x:c r="F10" s="2"/>
      <x:c r="G10" s="2"/>
      <x:c r="H10" s="2"/>
      <x:c r="I10" s="2"/>
      <x:c r="J10" s="2"/>
      <x:c r="K10" s="2"/>
    </x:row>
    <x:row r="11" ht="21" customHeight="1">
      <x:c r="A11" s="2"/>
      <x:c r="B11" s="2" t="str">
        <x:v>Committed debt (EUR thousands)</x:v>
      </x:c>
      <x:c r="C11" s="2"/>
      <x:c r="D11" s="2"/>
      <x:c r="E11" s="10" t="n">
        <x:v>40</x:v>
      </x:c>
      <x:c r="F11" s="2"/>
      <x:c r="G11" s="2"/>
      <x:c r="H11" s="2"/>
      <x:c r="I11" s="2"/>
      <x:c r="J11" s="2"/>
      <x:c r="K11" s="2"/>
    </x:row>
    <x:row r="12" ht="21" customHeight="1">
      <x:c r="A12" s="2"/>
      <x:c r="B12" s="2" t="str">
        <x:v>Annual debt coupon</x:v>
      </x:c>
      <x:c r="C12" s="2"/>
      <x:c r="D12" s="2"/>
      <x:c r="E12" s="13" t="n">
        <x:v>0.08</x:v>
      </x:c>
      <x:c r="F12" s="2"/>
      <x:c r="G12" s="2"/>
      <x:c r="H12" s="2"/>
      <x:c r="I12" s="2"/>
      <x:c r="J12" s="2"/>
      <x:c r="K12" s="2"/>
    </x:row>
    <x:row r="13" ht="21" customHeight="1">
      <x:c r="A13" s="2"/>
      <x:c r="B13" s="2" t="str">
        <x:v>Maturity from initial draw (years)</x:v>
      </x:c>
      <x:c r="C13" s="2"/>
      <x:c r="D13" s="2"/>
      <x:c r="E13" s="10" t="n">
        <x:v>2</x:v>
      </x:c>
      <x:c r="F13" s="2"/>
      <x:c r="G13" s="2"/>
      <x:c r="H13" s="2"/>
      <x:c r="I13" s="2"/>
      <x:c r="J13" s="2"/>
      <x:c r="K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1" customHeight="1">
      <x:c r="A15" s="2"/>
      <x:c r="B15" s="2" t="str">
        <x:v>First investment period</x:v>
      </x:c>
      <x:c r="C15" s="2"/>
      <x:c r="D15" s="2"/>
      <x:c r="E15" s="14" t="n">
        <x:f>IF(F21&gt;0,0,IF(G21&gt;0,1,IF(H21&gt;0,2,IF(I21&gt;0,3,IF(J21&gt;0,4,IF(K21&gt;0,5,-1))))))</x:f>
        <x:v>0</x:v>
      </x:c>
      <x:c r="F15" s="2"/>
      <x:c r="G15" s="2"/>
      <x:c r="H15" s="2"/>
      <x:c r="I15" s="2"/>
      <x:c r="J15" s="2"/>
      <x:c r="K15" s="2"/>
    </x:row>
    <x:row r="16" ht="21" customHeight="1">
      <x:c r="A16" s="2"/>
      <x:c r="B16" s="2" t="str">
        <x:v>Inputs valid (1 yes, 0 no)</x:v>
      </x:c>
      <x:c r="C16" s="2"/>
      <x:c r="D16" s="2"/>
      <x:c r="E16" s="14" t="b">
        <x:f>AND(COUNT(E4:E6)=3,E4&gt;=1,E4&lt;=2,INT(E4)=E4,E5&gt;=1,E5&lt;=4,INT(E5)=E5,E6&gt;=1,E6&lt;=2,INT(E6)=E6,COUNT(E8:E13)=6,E8&gt;=0,E9&gt;=0,E10&gt;-1,E11&gt;=0,E12&gt;=0,E13&gt;=1,E13&lt;=5,INT(E13)=E13,OR(E6=1,E15=-1,E15+E13&lt;=5),COUNT(F21:K21)=6,MIN(F21:K21)&gt;=0,COUNT(F28:K28)=6)</x:f>
        <x:v>1</x:v>
      </x:c>
      <x:c r="F16" s="2"/>
      <x:c r="G16" s="2"/>
      <x:c r="H16" s="2"/>
      <x:c r="I16" s="2"/>
      <x:c r="J16" s="2"/>
      <x:c r="K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1" customHeight="1">
      <x:c r="A18" s="2"/>
      <x:c r="B18" s="2" t="str">
        <x:v>Annual period</x:v>
      </x:c>
      <x:c r="C18" s="2"/>
      <x:c r="D18" s="2"/>
      <x:c r="E18" s="2"/>
      <x:c r="F18" s="2" t="n">
        <x:v>0</x:v>
      </x:c>
      <x:c r="G18" s="2" t="n">
        <x:v>1</x:v>
      </x:c>
      <x:c r="H18" s="2" t="n">
        <x:v>2</x:v>
      </x:c>
      <x:c r="I18" s="2" t="n">
        <x:v>3</x:v>
      </x:c>
      <x:c r="J18" s="2" t="n">
        <x:v>4</x:v>
      </x:c>
      <x:c r="K18" s="2" t="n">
        <x:v>5</x:v>
      </x:c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1" customHeight="1">
      <x:c r="A21" s="2"/>
      <x:c r="B21" s="15" t="str">
        <x:v>Capital expenditure - active</x:v>
      </x:c>
      <x:c r="C21" s="15"/>
      <x:c r="D21" s="15"/>
      <x:c r="E21" s="15"/>
      <x:c r="F21" s="16" t="n">
        <x:f>IF(COUNT(CHOOSE($E$5,F22,F23,F24,F25))=1,CHOOSE($E$5,F22,F23,F24,F25),NA())</x:f>
        <x:v>60</x:v>
      </x:c>
      <x:c r="G21" s="16" t="n">
        <x:f>IF(COUNT(CHOOSE($E$5,G22,G23,G24,G25))=1,CHOOSE($E$5,G22,G23,G24,G25),NA())</x:f>
        <x:v>50</x:v>
      </x:c>
      <x:c r="H21" s="16" t="n">
        <x:f>IF(COUNT(CHOOSE($E$5,H22,H23,H24,H25))=1,CHOOSE($E$5,H22,H23,H24,H25),NA())</x:f>
        <x:v>0</x:v>
      </x:c>
      <x:c r="I21" s="16" t="n">
        <x:f>IF(COUNT(CHOOSE($E$5,I22,I23,I24,I25))=1,CHOOSE($E$5,I22,I23,I24,I25),NA())</x:f>
        <x:v>0</x:v>
      </x:c>
      <x:c r="J21" s="16" t="n">
        <x:f>IF(COUNT(CHOOSE($E$5,J22,J23,J24,J25))=1,CHOOSE($E$5,J22,J23,J24,J25),NA())</x:f>
        <x:v>0</x:v>
      </x:c>
      <x:c r="K21" s="16" t="n">
        <x:f>IF(COUNT(CHOOSE($E$5,K22,K23,K24,K25))=1,CHOOSE($E$5,K22,K23,K24,K25),NA())</x:f>
        <x:v>0</x:v>
      </x:c>
    </x:row>
    <x:row r="22" ht="21" customHeight="1">
      <x:c r="A22" s="2"/>
      <x:c r="B22" s="2" t="str">
        <x:v>Invest</x:v>
      </x:c>
      <x:c r="C22" s="2"/>
      <x:c r="D22" s="2"/>
      <x:c r="E22" s="2"/>
      <x:c r="F22" s="10" t="n">
        <x:v>100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</x:row>
    <x:row r="23" ht="21" customHeight="1">
      <x:c r="A23" s="2"/>
      <x:c r="B23" s="2" t="str">
        <x:v>Stage</x:v>
      </x:c>
      <x:c r="C23" s="2"/>
      <x:c r="D23" s="2"/>
      <x:c r="E23" s="2"/>
      <x:c r="F23" s="10" t="n">
        <x:v>60</x:v>
      </x:c>
      <x:c r="G23" s="10" t="n">
        <x:v>50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</x:row>
    <x:row r="24" ht="21" customHeight="1">
      <x:c r="A24" s="2"/>
      <x:c r="B24" s="2" t="str">
        <x:v>Defer</x:v>
      </x:c>
      <x:c r="C24" s="2"/>
      <x:c r="D24" s="2"/>
      <x:c r="E24" s="2"/>
      <x:c r="F24" s="10" t="n">
        <x:v>0</x:v>
      </x:c>
      <x:c r="G24" s="10" t="n">
        <x:v>105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</x:row>
    <x:row r="25" ht="21" customHeight="1">
      <x:c r="A25" s="2"/>
      <x:c r="B25" s="2" t="str">
        <x:v>Reject</x:v>
      </x:c>
      <x:c r="C25" s="2"/>
      <x:c r="D25" s="2"/>
      <x:c r="E25" s="2"/>
      <x:c r="F25" s="10" t="n">
        <x:v>0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1" customHeight="1">
      <x:c r="A28" s="2"/>
      <x:c r="B28" s="15" t="str">
        <x:v>Operating cash before financing - active</x:v>
      </x:c>
      <x:c r="C28" s="15"/>
      <x:c r="D28" s="15"/>
      <x:c r="E28" s="15"/>
      <x:c r="F28" s="16" t="n">
        <x:f>IF(COUNT(CHOOSE($E$5,F29,F30,F31,F32))=1,CHOOSE($E$5,F29,F30,F31,F32),NA())</x:f>
        <x:v>0</x:v>
      </x:c>
      <x:c r="G28" s="16" t="n">
        <x:f>IF(COUNT(CHOOSE($E$5,G29,G30,G31,G32))=1,CHOOSE($E$5,G29,G30,G31,G32),NA())</x:f>
        <x:v>8</x:v>
      </x:c>
      <x:c r="H28" s="16" t="n">
        <x:f>IF(COUNT(CHOOSE($E$5,H29,H30,H31,H32))=1,CHOOSE($E$5,H29,H30,H31,H32),NA())</x:f>
        <x:v>35</x:v>
      </x:c>
      <x:c r="I28" s="16" t="n">
        <x:f>IF(COUNT(CHOOSE($E$5,I29,I30,I31,I32))=1,CHOOSE($E$5,I29,I30,I31,I32),NA())</x:f>
        <x:v>35</x:v>
      </x:c>
      <x:c r="J28" s="16" t="n">
        <x:f>IF(COUNT(CHOOSE($E$5,J29,J30,J31,J32))=1,CHOOSE($E$5,J29,J30,J31,J32),NA())</x:f>
        <x:v>35</x:v>
      </x:c>
      <x:c r="K28" s="16" t="n">
        <x:f>IF(COUNT(CHOOSE($E$5,K29,K30,K31,K32))=1,CHOOSE($E$5,K29,K30,K31,K32),NA())</x:f>
        <x:v>35</x:v>
      </x:c>
    </x:row>
    <x:row r="29" ht="21" customHeight="1">
      <x:c r="A29" s="2"/>
      <x:c r="B29" s="2" t="str">
        <x:v>Invest</x:v>
      </x:c>
      <x:c r="C29" s="2"/>
      <x:c r="D29" s="2"/>
      <x:c r="E29" s="2"/>
      <x:c r="F29" s="10" t="n">
        <x:v>0</x:v>
      </x:c>
      <x:c r="G29" s="10" t="n">
        <x:v>30</x:v>
      </x:c>
      <x:c r="H29" s="10" t="n">
        <x:v>30</x:v>
      </x:c>
      <x:c r="I29" s="10" t="n">
        <x:v>30</x:v>
      </x:c>
      <x:c r="J29" s="10" t="n">
        <x:v>30</x:v>
      </x:c>
      <x:c r="K29" s="10" t="n">
        <x:v>30</x:v>
      </x:c>
    </x:row>
    <x:row r="30" ht="21" customHeight="1">
      <x:c r="A30" s="2"/>
      <x:c r="B30" s="2" t="str">
        <x:v>Stage</x:v>
      </x:c>
      <x:c r="C30" s="2"/>
      <x:c r="D30" s="2"/>
      <x:c r="E30" s="2"/>
      <x:c r="F30" s="10" t="n">
        <x:v>0</x:v>
      </x:c>
      <x:c r="G30" s="10" t="n">
        <x:v>8</x:v>
      </x:c>
      <x:c r="H30" s="10" t="n">
        <x:v>35</x:v>
      </x:c>
      <x:c r="I30" s="10" t="n">
        <x:v>35</x:v>
      </x:c>
      <x:c r="J30" s="10" t="n">
        <x:v>35</x:v>
      </x:c>
      <x:c r="K30" s="10" t="n">
        <x:v>35</x:v>
      </x:c>
    </x:row>
    <x:row r="31" ht="21" customHeight="1">
      <x:c r="A31" s="2"/>
      <x:c r="B31" s="2" t="str">
        <x:v>Defer</x:v>
      </x:c>
      <x:c r="C31" s="2"/>
      <x:c r="D31" s="2"/>
      <x:c r="E31" s="2"/>
      <x:c r="F31" s="10" t="n">
        <x:v>0</x:v>
      </x:c>
      <x:c r="G31" s="10" t="n">
        <x:v>0</x:v>
      </x:c>
      <x:c r="H31" s="10" t="n">
        <x:v>35</x:v>
      </x:c>
      <x:c r="I31" s="10" t="n">
        <x:v>35</x:v>
      </x:c>
      <x:c r="J31" s="10" t="n">
        <x:v>35</x:v>
      </x:c>
      <x:c r="K31" s="10" t="n">
        <x:v>35</x:v>
      </x:c>
    </x:row>
    <x:row r="32" ht="21" customHeight="1">
      <x:c r="A32" s="2"/>
      <x:c r="B32" s="2" t="str">
        <x:v>Reject</x:v>
      </x:c>
      <x:c r="C32" s="2"/>
      <x:c r="D32" s="2"/>
      <x:c r="E32" s="2"/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1" customHeight="1">
      <x:c r="A35" s="2"/>
      <x:c r="B35" s="2" t="str">
        <x:v>Full refinancing allowed - active</x:v>
      </x:c>
      <x:c r="C35" s="2"/>
      <x:c r="D35" s="2"/>
      <x:c r="E35" s="14" t="n">
        <x:f>CHOOSE(E4,E36,E37)</x:f>
        <x:v>1</x:v>
      </x:c>
      <x:c r="F35" s="2"/>
      <x:c r="G35" s="2"/>
      <x:c r="H35" s="2"/>
      <x:c r="I35" s="2"/>
      <x:c r="J35" s="2"/>
      <x:c r="K35" s="2"/>
    </x:row>
    <x:row r="36" ht="21" customHeight="1">
      <x:c r="A36" s="2"/>
      <x:c r="B36" s="2" t="str">
        <x:v>Normal</x:v>
      </x:c>
      <x:c r="C36" s="2"/>
      <x:c r="D36" s="2"/>
      <x:c r="E36" s="2" t="n">
        <x:v>1</x:v>
      </x:c>
      <x:c r="F36" s="2"/>
      <x:c r="G36" s="2"/>
      <x:c r="H36" s="2"/>
      <x:c r="I36" s="2"/>
      <x:c r="J36" s="2"/>
      <x:c r="K36" s="2"/>
    </x:row>
    <x:row r="37" ht="21" customHeight="1">
      <x:c r="A37" s="2"/>
      <x:c r="B37" s="2" t="str">
        <x:v>Restricted</x:v>
      </x:c>
      <x:c r="C37" s="2"/>
      <x:c r="D37" s="2"/>
      <x:c r="E37" s="2" t="n">
        <x:v>0</x:v>
      </x:c>
      <x:c r="F37" s="2"/>
      <x:c r="G37" s="2"/>
      <x:c r="H37" s="2"/>
      <x:c r="I37" s="2"/>
      <x:c r="J37" s="2"/>
      <x:c r="K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1" customHeight="1">
      <x:c r="A40" s="2"/>
      <x:c r="B40" s="2" t="str">
        <x:v>All amounts are EUR thousands; annual end-of-period flows, t0 initial.</x:v>
      </x:c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1" customHeight="1">
      <x:c r="A41" s="2"/>
      <x:c r="B41" s="2" t="str">
        <x:v>Source: Arctervix src/internal_model.py, PLANS and evaluate(), 2026-10-26.</x:v>
      </x:c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1" customHeight="1">
      <x:c r="A42" s="2"/>
      <x:c r="B42" s="2" t="str">
        <x:v>Repo: 5. Portfolio Projects/arctervix-risk-engine/</x:v>
      </x:c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1" customHeight="1">
      <x:c r="A43" s="2"/>
      <x:c r="B43" s="2" t="str">
        <x:v>Debt is committed at first investment in either regime. One refinance to t5.</x:v>
      </x:c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1" customHeight="1">
      <x:c r="A44" s="2"/>
      <x:c r="B44" s="2" t="str">
        <x:v>No tax, working capital, terminal value or within-year cash model.</x:v>
      </x:c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1" customHeight="1">
      <x:c r="A45" s="2"/>
      <x:c r="B45" s="2" t="str">
        <x:v>Amber inputs are editable. Blank inputs are unavailable, not zero.</x:v>
      </x:c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</x:sheetData>
  <x:dataValidations count="3">
    <x:dataValidation type="whole" operator="between" sqref="E4">
      <x:formula1>1</x:formula1>
      <x:formula2>2</x:formula2>
    </x:dataValidation>
    <x:dataValidation type="whole" operator="between" sqref="E5">
      <x:formula1>1</x:formula1>
      <x:formula2>4</x:formula2>
    </x:dataValidation>
    <x:dataValidation type="whole" operator="between" sqref="E6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1" hidden="0" customWidth="1"/>
    <x:col min="3" max="3" width="3" hidden="0" customWidth="1"/>
    <x:col min="4" max="4" width="3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2"/>
      <x:c r="B2" s="3" t="str">
        <x:v>Arctervix cash and debt schedule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2"/>
      <x:c r="B3" s="4"/>
      <x:c r="C3" s="4"/>
      <x:c r="D3" s="4"/>
      <x:c r="E3" s="4"/>
      <x:c r="F3" s="4"/>
      <x:c r="G3" s="4"/>
      <x:c r="H3" s="4"/>
      <x:c r="I3" s="2"/>
      <x:c r="J3" s="2"/>
      <x:c r="K3" s="2"/>
    </x:row>
    <x:row r="4" ht="21" customHeight="1">
      <x:c r="A4" s="2"/>
      <x:c r="B4" s="2" t="str">
        <x:v>Case selected</x:v>
      </x:c>
      <x:c r="C4" s="2"/>
      <x:c r="D4" s="2"/>
      <x:c r="E4" s="17" t="str">
        <x:f>CHOOSE('Assumptions'!E4,"Normal","Restricted")</x:f>
        <x:v>Normal</x:v>
      </x:c>
      <x:c r="F4" s="2"/>
      <x:c r="G4" s="2"/>
      <x:c r="H4" s="2"/>
      <x:c r="I4" s="2"/>
      <x:c r="J4" s="2"/>
      <x:c r="K4" s="2"/>
    </x:row>
    <x:row r="5" ht="21" customHeight="1">
      <x:c r="A5" s="2"/>
      <x:c r="B5" s="2" t="str">
        <x:v>Annual period</x:v>
      </x:c>
      <x:c r="C5" s="2"/>
      <x:c r="D5" s="2"/>
      <x:c r="E5" s="2"/>
      <x:c r="F5" s="2" t="n">
        <x:v>0</x:v>
      </x:c>
      <x:c r="G5" s="2" t="n">
        <x:v>1</x:v>
      </x:c>
      <x:c r="H5" s="2" t="n">
        <x:v>2</x:v>
      </x:c>
      <x:c r="I5" s="2" t="n">
        <x:v>3</x:v>
      </x:c>
      <x:c r="J5" s="2" t="n">
        <x:v>4</x:v>
      </x:c>
      <x:c r="K5" s="2" t="n">
        <x:v>5</x:v>
      </x:c>
    </x:row>
    <x:row r="6" ht="21" customHeight="1">
      <x:c r="A6" s="2"/>
      <x:c r="B6" s="2" t="str">
        <x:v>Opening cash</x:v>
      </x:c>
      <x:c r="C6" s="2"/>
      <x:c r="D6" s="2"/>
      <x:c r="E6" s="2"/>
      <x:c r="F6" s="20" t="n">
        <x:f>IF('Assumptions'!$E$16,'Assumptions'!$E$8,NA())</x:f>
        <x:v>80</x:v>
      </x:c>
      <x:c r="G6" s="21" t="n">
        <x:f>F16</x:f>
        <x:v>60</x:v>
      </x:c>
      <x:c r="H6" s="21" t="n">
        <x:f>G16</x:f>
        <x:v>14.799999999999997</x:v>
      </x:c>
      <x:c r="I6" s="21" t="n">
        <x:f>H16</x:f>
        <x:v>46.599999999999994</x:v>
      </x:c>
      <x:c r="J6" s="21" t="n">
        <x:f>I16</x:f>
        <x:v>78.39999999999999</x:v>
      </x:c>
      <x:c r="K6" s="21" t="n">
        <x:f>J16</x:f>
        <x:v>110.19999999999999</x:v>
      </x:c>
    </x:row>
    <x:row r="7" ht="21" customHeight="1">
      <x:c r="A7" s="2"/>
      <x:c r="B7" s="2" t="str">
        <x:v>Operating cash before financing</x:v>
      </x:c>
      <x:c r="C7" s="2"/>
      <x:c r="D7" s="2"/>
      <x:c r="E7" s="2"/>
      <x:c r="F7" s="20" t="n">
        <x:f>'Assumptions'!F28</x:f>
        <x:v>0</x:v>
      </x:c>
      <x:c r="G7" s="20" t="n">
        <x:f>'Assumptions'!G28</x:f>
        <x:v>8</x:v>
      </x:c>
      <x:c r="H7" s="20" t="n">
        <x:f>'Assumptions'!H28</x:f>
        <x:v>35</x:v>
      </x:c>
      <x:c r="I7" s="20" t="n">
        <x:f>'Assumptions'!I28</x:f>
        <x:v>35</x:v>
      </x:c>
      <x:c r="J7" s="20" t="n">
        <x:f>'Assumptions'!J28</x:f>
        <x:v>35</x:v>
      </x:c>
      <x:c r="K7" s="20" t="n">
        <x:f>'Assumptions'!K28</x:f>
        <x:v>35</x:v>
      </x:c>
    </x:row>
    <x:row r="8" ht="21" customHeight="1">
      <x:c r="A8" s="2"/>
      <x:c r="B8" s="2" t="str">
        <x:v>Capital expenditure</x:v>
      </x:c>
      <x:c r="C8" s="2"/>
      <x:c r="D8" s="2"/>
      <x:c r="E8" s="2"/>
      <x:c r="F8" s="20" t="n">
        <x:f>'Assumptions'!F21</x:f>
        <x:v>60</x:v>
      </x:c>
      <x:c r="G8" s="20" t="n">
        <x:f>'Assumptions'!G21</x:f>
        <x:v>50</x:v>
      </x:c>
      <x:c r="H8" s="20" t="n">
        <x:f>'Assumptions'!H21</x:f>
        <x:v>0</x:v>
      </x:c>
      <x:c r="I8" s="20" t="n">
        <x:f>'Assumptions'!I21</x:f>
        <x:v>0</x:v>
      </x:c>
      <x:c r="J8" s="20" t="n">
        <x:f>'Assumptions'!J21</x:f>
        <x:v>0</x:v>
      </x:c>
      <x:c r="K8" s="20" t="n">
        <x:f>'Assumptions'!K21</x:f>
        <x:v>0</x:v>
      </x:c>
    </x:row>
    <x:row r="9" ht="21" customHeight="1">
      <x:c r="A9" s="2"/>
      <x:c r="B9" s="2" t="str">
        <x:v>Opening debt</x:v>
      </x:c>
      <x:c r="C9" s="2"/>
      <x:c r="D9" s="2"/>
      <x:c r="E9" s="2"/>
      <x:c r="F9" s="21" t="n">
        <x:f>0</x:f>
        <x:v>0</x:v>
      </x:c>
      <x:c r="G9" s="21" t="n">
        <x:f>F14</x:f>
        <x:v>40</x:v>
      </x:c>
      <x:c r="H9" s="21" t="n">
        <x:f>G14</x:f>
        <x:v>40</x:v>
      </x:c>
      <x:c r="I9" s="21" t="n">
        <x:f>H14</x:f>
        <x:v>40</x:v>
      </x:c>
      <x:c r="J9" s="21" t="n">
        <x:f>I14</x:f>
        <x:v>40</x:v>
      </x:c>
      <x:c r="K9" s="21" t="n">
        <x:f>J14</x:f>
        <x:v>40</x:v>
      </x:c>
    </x:row>
    <x:row r="10" ht="21" customHeight="1">
      <x:c r="A10" s="2"/>
      <x:c r="B10" s="2" t="str">
        <x:v>Initial debt draw</x:v>
      </x:c>
      <x:c r="C10" s="2"/>
      <x:c r="D10" s="2"/>
      <x:c r="E10" s="2"/>
      <x:c r="F10" s="20" t="n">
        <x:f>IF(AND('Assumptions'!$E$6=2,F$5='Assumptions'!$E$15),'Assumptions'!$E$11,0)</x:f>
        <x:v>40</x:v>
      </x:c>
      <x:c r="G10" s="20" t="n">
        <x:f>IF(AND('Assumptions'!$E$6=2,G$5='Assumptions'!$E$15),'Assumptions'!$E$11,0)</x:f>
        <x:v>0</x:v>
      </x:c>
      <x:c r="H10" s="20" t="n">
        <x:f>IF(AND('Assumptions'!$E$6=2,H$5='Assumptions'!$E$15),'Assumptions'!$E$11,0)</x:f>
        <x:v>0</x:v>
      </x:c>
      <x:c r="I10" s="20" t="n">
        <x:f>IF(AND('Assumptions'!$E$6=2,I$5='Assumptions'!$E$15),'Assumptions'!$E$11,0)</x:f>
        <x:v>0</x:v>
      </x:c>
      <x:c r="J10" s="20" t="n">
        <x:f>IF(AND('Assumptions'!$E$6=2,J$5='Assumptions'!$E$15),'Assumptions'!$E$11,0)</x:f>
        <x:v>0</x:v>
      </x:c>
      <x:c r="K10" s="20" t="n">
        <x:f>IF(AND('Assumptions'!$E$6=2,K$5='Assumptions'!$E$15),'Assumptions'!$E$11,0)</x:f>
        <x:v>0</x:v>
      </x:c>
    </x:row>
    <x:row r="11" ht="21" customHeight="1">
      <x:c r="A11" s="2"/>
      <x:c r="B11" s="2" t="str">
        <x:v>Interest paid</x:v>
      </x:c>
      <x:c r="C11" s="2"/>
      <x:c r="D11" s="2"/>
      <x:c r="E11" s="2"/>
      <x:c r="F11" s="20" t="n">
        <x:f>F9*'Assumptions'!$E$12</x:f>
        <x:v>0</x:v>
      </x:c>
      <x:c r="G11" s="20" t="n">
        <x:f>G9*'Assumptions'!$E$12</x:f>
        <x:v>3.2</x:v>
      </x:c>
      <x:c r="H11" s="20" t="n">
        <x:f>H9*'Assumptions'!$E$12</x:f>
        <x:v>3.2</x:v>
      </x:c>
      <x:c r="I11" s="20" t="n">
        <x:f>I9*'Assumptions'!$E$12</x:f>
        <x:v>3.2</x:v>
      </x:c>
      <x:c r="J11" s="20" t="n">
        <x:f>J9*'Assumptions'!$E$12</x:f>
        <x:v>3.2</x:v>
      </x:c>
      <x:c r="K11" s="20" t="n">
        <x:f>K9*'Assumptions'!$E$12</x:f>
        <x:v>3.2</x:v>
      </x:c>
    </x:row>
    <x:row r="12" ht="21" customHeight="1">
      <x:c r="A12" s="2"/>
      <x:c r="B12" s="2" t="str">
        <x:v>Principal repayment</x:v>
      </x:c>
      <x:c r="C12" s="2"/>
      <x:c r="D12" s="2"/>
      <x:c r="E12" s="2"/>
      <x:c r="F12" s="20" t="n">
        <x:f>IF(OR(F$5='Assumptions'!$E$15+'Assumptions'!$E$13,F$5=5),F9,0)</x:f>
        <x:v>0</x:v>
      </x:c>
      <x:c r="G12" s="20" t="n">
        <x:f>IF(OR(G$5='Assumptions'!$E$15+'Assumptions'!$E$13,G$5=5),G9,0)</x:f>
        <x:v>0</x:v>
      </x:c>
      <x:c r="H12" s="20" t="n">
        <x:f>IF(OR(H$5='Assumptions'!$E$15+'Assumptions'!$E$13,H$5=5),H9,0)</x:f>
        <x:v>40</x:v>
      </x:c>
      <x:c r="I12" s="20" t="n">
        <x:f>IF(OR(I$5='Assumptions'!$E$15+'Assumptions'!$E$13,I$5=5),I9,0)</x:f>
        <x:v>0</x:v>
      </x:c>
      <x:c r="J12" s="20" t="n">
        <x:f>IF(OR(J$5='Assumptions'!$E$15+'Assumptions'!$E$13,J$5=5),J9,0)</x:f>
        <x:v>0</x:v>
      </x:c>
      <x:c r="K12" s="20" t="n">
        <x:f>IF(OR(K$5='Assumptions'!$E$15+'Assumptions'!$E$13,K$5=5),K9,0)</x:f>
        <x:v>40</x:v>
      </x:c>
    </x:row>
    <x:row r="13" ht="21" customHeight="1">
      <x:c r="A13" s="2"/>
      <x:c r="B13" s="2" t="str">
        <x:v>Refinancing proceeds</x:v>
      </x:c>
      <x:c r="C13" s="2"/>
      <x:c r="D13" s="2"/>
      <x:c r="E13" s="2"/>
      <x:c r="F13" s="20" t="n">
        <x:f>IF(AND('Assumptions'!$E$35=1,F$5='Assumptions'!$E$15+'Assumptions'!$E$13,F$5&lt;5),F12,0)</x:f>
        <x:v>0</x:v>
      </x:c>
      <x:c r="G13" s="20" t="n">
        <x:f>IF(AND('Assumptions'!$E$35=1,G$5='Assumptions'!$E$15+'Assumptions'!$E$13,G$5&lt;5),G12,0)</x:f>
        <x:v>0</x:v>
      </x:c>
      <x:c r="H13" s="20" t="n">
        <x:f>IF(AND('Assumptions'!$E$35=1,H$5='Assumptions'!$E$15+'Assumptions'!$E$13,H$5&lt;5),H12,0)</x:f>
        <x:v>40</x:v>
      </x:c>
      <x:c r="I13" s="20" t="n">
        <x:f>IF(AND('Assumptions'!$E$35=1,I$5='Assumptions'!$E$15+'Assumptions'!$E$13,I$5&lt;5),I12,0)</x:f>
        <x:v>0</x:v>
      </x:c>
      <x:c r="J13" s="20" t="n">
        <x:f>IF(AND('Assumptions'!$E$35=1,J$5='Assumptions'!$E$15+'Assumptions'!$E$13,J$5&lt;5),J12,0)</x:f>
        <x:v>0</x:v>
      </x:c>
      <x:c r="K13" s="20" t="n">
        <x:f>IF(AND('Assumptions'!$E$35=1,K$5='Assumptions'!$E$15+'Assumptions'!$E$13,K$5&lt;5),K12,0)</x:f>
        <x:v>0</x:v>
      </x:c>
    </x:row>
    <x:row r="14" ht="21" customHeight="1">
      <x:c r="A14" s="2"/>
      <x:c r="B14" s="2" t="str">
        <x:v>Closing debt</x:v>
      </x:c>
      <x:c r="C14" s="2"/>
      <x:c r="D14" s="2"/>
      <x:c r="E14" s="2"/>
      <x:c r="F14" s="21" t="n">
        <x:f>F9+F10+F13-F12</x:f>
        <x:v>40</x:v>
      </x:c>
      <x:c r="G14" s="21" t="n">
        <x:f>G9+G10+G13-G12</x:f>
        <x:v>40</x:v>
      </x:c>
      <x:c r="H14" s="21" t="n">
        <x:f>H9+H10+H13-H12</x:f>
        <x:v>40</x:v>
      </x:c>
      <x:c r="I14" s="21" t="n">
        <x:f>I9+I10+I13-I12</x:f>
        <x:v>40</x:v>
      </x:c>
      <x:c r="J14" s="21" t="n">
        <x:f>J9+J10+J13-J12</x:f>
        <x:v>40</x:v>
      </x:c>
      <x:c r="K14" s="21" t="n">
        <x:f>K9+K10+K13-K12</x:f>
        <x:v>0</x:v>
      </x:c>
    </x:row>
    <x:row r="15" ht="21" customHeight="1">
      <x:c r="A15" s="2"/>
      <x:c r="B15" s="2" t="str">
        <x:v>Cash available before capex</x:v>
      </x:c>
      <x:c r="C15" s="2"/>
      <x:c r="D15" s="2"/>
      <x:c r="E15" s="2"/>
      <x:c r="F15" s="21" t="n">
        <x:f>F6+F7-F11-F12+F13+F10</x:f>
        <x:v>120</x:v>
      </x:c>
      <x:c r="G15" s="21" t="n">
        <x:f>G6+G7-G11-G12+G13+G10</x:f>
        <x:v>64.8</x:v>
      </x:c>
      <x:c r="H15" s="21" t="n">
        <x:f>H6+H7-H11-H12+H13+H10</x:f>
        <x:v>46.599999999999994</x:v>
      </x:c>
      <x:c r="I15" s="21" t="n">
        <x:f>I6+I7-I11-I12+I13+I10</x:f>
        <x:v>78.39999999999999</x:v>
      </x:c>
      <x:c r="J15" s="21" t="n">
        <x:f>J6+J7-J11-J12+J13+J10</x:f>
        <x:v>110.19999999999999</x:v>
      </x:c>
      <x:c r="K15" s="21" t="n">
        <x:f>K6+K7-K11-K12+K13+K10</x:f>
        <x:v>102</x:v>
      </x:c>
    </x:row>
    <x:row r="16" ht="21" customHeight="1">
      <x:c r="A16" s="2"/>
      <x:c r="B16" s="15" t="str">
        <x:v>Closing cash</x:v>
      </x:c>
      <x:c r="C16" s="15"/>
      <x:c r="D16" s="15"/>
      <x:c r="E16" s="15"/>
      <x:c r="F16" s="26" t="n">
        <x:f>F15-F8</x:f>
        <x:v>60</x:v>
      </x:c>
      <x:c r="G16" s="26" t="n">
        <x:f>G15-G8</x:f>
        <x:v>14.799999999999997</x:v>
      </x:c>
      <x:c r="H16" s="26" t="n">
        <x:f>H15-H8</x:f>
        <x:v>46.599999999999994</x:v>
      </x:c>
      <x:c r="I16" s="26" t="n">
        <x:f>I15-I8</x:f>
        <x:v>78.39999999999999</x:v>
      </x:c>
      <x:c r="J16" s="26" t="n">
        <x:f>J15-J8</x:f>
        <x:v>110.19999999999999</x:v>
      </x:c>
      <x:c r="K16" s="26" t="n">
        <x:f>K15-K8</x:f>
        <x:v>102</x:v>
      </x:c>
    </x:row>
    <x:row r="17" ht="21" customHeight="1">
      <x:c r="A17" s="2"/>
      <x:c r="B17" s="2" t="str">
        <x:v>Required cash buffer</x:v>
      </x:c>
      <x:c r="C17" s="2"/>
      <x:c r="D17" s="2"/>
      <x:c r="E17" s="2"/>
      <x:c r="F17" s="20" t="n">
        <x:f>'Assumptions'!$E$9</x:f>
        <x:v>10</x:v>
      </x:c>
      <x:c r="G17" s="20" t="n">
        <x:f>'Assumptions'!$E$9</x:f>
        <x:v>10</x:v>
      </x:c>
      <x:c r="H17" s="20" t="n">
        <x:f>'Assumptions'!$E$9</x:f>
        <x:v>10</x:v>
      </x:c>
      <x:c r="I17" s="20" t="n">
        <x:f>'Assumptions'!$E$9</x:f>
        <x:v>10</x:v>
      </x:c>
      <x:c r="J17" s="20" t="n">
        <x:f>'Assumptions'!$E$9</x:f>
        <x:v>10</x:v>
      </x:c>
      <x:c r="K17" s="20" t="n">
        <x:f>'Assumptions'!$E$9</x:f>
        <x:v>10</x:v>
      </x:c>
    </x:row>
    <x:row r="18" ht="21" customHeight="1">
      <x:c r="A18" s="2"/>
      <x:c r="B18" s="2" t="str">
        <x:v>Funding gap to buffer</x:v>
      </x:c>
      <x:c r="C18" s="2"/>
      <x:c r="D18" s="2"/>
      <x:c r="E18" s="2"/>
      <x:c r="F18" s="21" t="n">
        <x:f>MAX(0,F17-F16)</x:f>
        <x:v>0</x:v>
      </x:c>
      <x:c r="G18" s="21" t="n">
        <x:f>MAX(0,G17-G16)</x:f>
        <x:v>0</x:v>
      </x:c>
      <x:c r="H18" s="21" t="n">
        <x:f>MAX(0,H17-H16)</x:f>
        <x:v>0</x:v>
      </x:c>
      <x:c r="I18" s="21" t="n">
        <x:f>MAX(0,I17-I16)</x:f>
        <x:v>0</x:v>
      </x:c>
      <x:c r="J18" s="21" t="n">
        <x:f>MAX(0,J17-J16)</x:f>
        <x:v>0</x:v>
      </x:c>
      <x:c r="K18" s="21" t="n">
        <x:f>MAX(0,K17-K16)</x:f>
        <x:v>0</x:v>
      </x:c>
    </x:row>
    <x:row r="19" ht="21" customHeight="1">
      <x:c r="A19" s="2"/>
      <x:c r="B19" s="2" t="str">
        <x:v>Action available before breach</x:v>
      </x:c>
      <x:c r="C19" s="2"/>
      <x:c r="D19" s="2"/>
      <x:c r="E19" s="2"/>
      <x:c r="F19" s="22" t="b">
        <x:f>AND(TRUE,F16&gt;=F17)</x:f>
        <x:v>1</x:v>
      </x:c>
      <x:c r="G19" s="22" t="b">
        <x:f>AND(F20=0,G16&gt;=G17)</x:f>
        <x:v>1</x:v>
      </x:c>
      <x:c r="H19" s="22" t="b">
        <x:f>AND(G20=0,H16&gt;=H17)</x:f>
        <x:v>1</x:v>
      </x:c>
      <x:c r="I19" s="22" t="b">
        <x:f>AND(H20=0,I16&gt;=I17)</x:f>
        <x:v>1</x:v>
      </x:c>
      <x:c r="J19" s="22" t="b">
        <x:f>AND(I20=0,J16&gt;=J17)</x:f>
        <x:v>1</x:v>
      </x:c>
      <x:c r="K19" s="22" t="b">
        <x:f>AND(J20=0,K16&gt;=K17)</x:f>
        <x:v>1</x:v>
      </x:c>
    </x:row>
    <x:row r="20" ht="21" customHeight="1">
      <x:c r="A20" s="2"/>
      <x:c r="B20" s="2" t="str">
        <x:v>Cumulative breach flag</x:v>
      </x:c>
      <x:c r="C20" s="2"/>
      <x:c r="D20" s="2"/>
      <x:c r="E20" s="2"/>
      <x:c r="F20" s="23" t="n">
        <x:f>IF(OR(FALSE,F16&lt;F17),1,0)</x:f>
        <x:v>0</x:v>
      </x:c>
      <x:c r="G20" s="23" t="n">
        <x:f>IF(OR(F20=1,G16&lt;G17),1,0)</x:f>
        <x:v>0</x:v>
      </x:c>
      <x:c r="H20" s="23" t="n">
        <x:f>IF(OR(G20=1,H16&lt;H17),1,0)</x:f>
        <x:v>0</x:v>
      </x:c>
      <x:c r="I20" s="23" t="n">
        <x:f>IF(OR(H20=1,I16&lt;I17),1,0)</x:f>
        <x:v>0</x:v>
      </x:c>
      <x:c r="J20" s="23" t="n">
        <x:f>IF(OR(I20=1,J16&lt;J17),1,0)</x:f>
        <x:v>0</x:v>
      </x:c>
      <x:c r="K20" s="23" t="n">
        <x:f>IF(OR(J20=1,K16&lt;K17),1,0)</x:f>
        <x:v>0</x:v>
      </x:c>
    </x:row>
    <x:row r="21" ht="21" customHeight="1">
      <x:c r="A21" s="2"/>
      <x:c r="B21" s="2" t="str">
        <x:v>Cash identity residual</x:v>
      </x:c>
      <x:c r="C21" s="2"/>
      <x:c r="D21" s="2"/>
      <x:c r="E21" s="2"/>
      <x:c r="F21" s="24" t="n">
        <x:f>F16-F6-F7+F8+F11+F12-F13-F10</x:f>
        <x:v>0</x:v>
      </x:c>
      <x:c r="G21" s="24" t="n">
        <x:f>G16-G6-G7+G8+G11+G12-G13-G10</x:f>
        <x:v>-2.6645352591003757e-15</x:v>
      </x:c>
      <x:c r="H21" s="24" t="n">
        <x:f>H16-H6-H7+H8+H11+H12-H13-H10</x:f>
        <x:v>0</x:v>
      </x:c>
      <x:c r="I21" s="24" t="n">
        <x:f>I16-I6-I7+I8+I11+I12-I13-I10</x:f>
        <x:v>-2.6645352591003757e-15</x:v>
      </x:c>
      <x:c r="J21" s="24" t="n">
        <x:f>J16-J6-J7+J8+J11+J12-J13-J10</x:f>
        <x:v>-2.6645352591003757e-15</x:v>
      </x:c>
      <x:c r="K21" s="24" t="n">
        <x:f>K16-K6-K7+K8+K11+K12-K13-K10</x:f>
        <x:v>1.4210854715202004e-14</x:v>
      </x:c>
    </x:row>
    <x:row r="22" ht="21" customHeight="1">
      <x:c r="A22" s="2"/>
      <x:c r="B22" s="2" t="str">
        <x:v>Debt identity residual</x:v>
      </x:c>
      <x:c r="C22" s="2"/>
      <x:c r="D22" s="2"/>
      <x:c r="E22" s="2"/>
      <x:c r="F22" s="24" t="n">
        <x:f>F14-F9-F10-F13+F12</x:f>
        <x:v>0</x:v>
      </x:c>
      <x:c r="G22" s="24" t="n">
        <x:f>G14-G9-G10-G13+G12</x:f>
        <x:v>0</x:v>
      </x:c>
      <x:c r="H22" s="24" t="n">
        <x:f>H14-H9-H10-H13+H12</x:f>
        <x:v>0</x:v>
      </x:c>
      <x:c r="I22" s="24" t="n">
        <x:f>I14-I9-I10-I13+I12</x:f>
        <x:v>0</x:v>
      </x:c>
      <x:c r="J22" s="24" t="n">
        <x:f>J14-J9-J10-J13+J12</x:f>
        <x:v>0</x:v>
      </x:c>
      <x:c r="K22" s="24" t="n">
        <x:f>K14-K9-K10-K13+K12</x:f>
        <x:v>0</x:v>
      </x:c>
    </x:row>
    <x:row r="23" ht="21" customHeight="1">
      <x:c r="A23" s="2"/>
      <x:c r="B23" s="2" t="str">
        <x:v>Unlevered project cash flow</x:v>
      </x:c>
      <x:c r="C23" s="2"/>
      <x:c r="D23" s="2"/>
      <x:c r="E23" s="2"/>
      <x:c r="F23" s="21" t="n">
        <x:f>F7-F8</x:f>
        <x:v>-60</x:v>
      </x:c>
      <x:c r="G23" s="21" t="n">
        <x:f>G7-G8</x:f>
        <x:v>-42</x:v>
      </x:c>
      <x:c r="H23" s="21" t="n">
        <x:f>H7-H8</x:f>
        <x:v>35</x:v>
      </x:c>
      <x:c r="I23" s="21" t="n">
        <x:f>I7-I8</x:f>
        <x:v>35</x:v>
      </x:c>
      <x:c r="J23" s="21" t="n">
        <x:f>J7-J8</x:f>
        <x:v>35</x:v>
      </x:c>
      <x:c r="K23" s="21" t="n">
        <x:f>K7-K8</x:f>
        <x:v>35</x:v>
      </x:c>
    </x:row>
    <x:row r="24" ht="21" customHeight="1">
      <x:c r="A24" s="2"/>
      <x:c r="B24" s="2" t="str">
        <x:v>Discount factor</x:v>
      </x:c>
      <x:c r="C24" s="2"/>
      <x:c r="D24" s="2"/>
      <x:c r="E24" s="2"/>
      <x:c r="F24" s="25" t="n">
        <x:f>1/(1+'Assumptions'!$E$10)^F$5</x:f>
        <x:v>1</x:v>
      </x:c>
      <x:c r="G24" s="25" t="n">
        <x:f>1/(1+'Assumptions'!$E$10)^G$5</x:f>
        <x:v>0.9090909090909091</x:v>
      </x:c>
      <x:c r="H24" s="25" t="n">
        <x:f>1/(1+'Assumptions'!$E$10)^H$5</x:f>
        <x:v>0.8264462809917354</x:v>
      </x:c>
      <x:c r="I24" s="25" t="n">
        <x:f>1/(1+'Assumptions'!$E$10)^I$5</x:f>
        <x:v>0.7513148009015775</x:v>
      </x:c>
      <x:c r="J24" s="25" t="n">
        <x:f>1/(1+'Assumptions'!$E$10)^J$5</x:f>
        <x:v>0.6830134553650705</x:v>
      </x:c>
      <x:c r="K24" s="25" t="n">
        <x:f>1/(1+'Assumptions'!$E$10)^K$5</x:f>
        <x:v>0.6209213230591549</x:v>
      </x:c>
    </x:row>
    <x:row r="25" ht="21" customHeight="1">
      <x:c r="A25" s="2"/>
      <x:c r="B25" s="27" t="str">
        <x:v>Discounted project cash flow</x:v>
      </x:c>
      <x:c r="C25" s="27"/>
      <x:c r="D25" s="27"/>
      <x:c r="E25" s="27"/>
      <x:c r="F25" s="28" t="n">
        <x:f>F23*F24</x:f>
        <x:v>-60</x:v>
      </x:c>
      <x:c r="G25" s="28" t="n">
        <x:f>G23*G24</x:f>
        <x:v>-38.18181818181818</x:v>
      </x:c>
      <x:c r="H25" s="28" t="n">
        <x:f>H23*H24</x:f>
        <x:v>28.92561983471074</x:v>
      </x:c>
      <x:c r="I25" s="28" t="n">
        <x:f>I23*I24</x:f>
        <x:v>26.296018031555214</x:v>
      </x:c>
      <x:c r="J25" s="28" t="n">
        <x:f>J23*J24</x:f>
        <x:v>23.90547093777747</x:v>
      </x:c>
      <x:c r="K25" s="28" t="n">
        <x:f>K23*K24</x:f>
        <x:v>21.732246307070422</x:v>
      </x:c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1" customHeight="1">
      <x:c r="A28" s="2"/>
      <x:c r="B28" s="2" t="str">
        <x:v>Amounts: EUR thousands. A breach makes the entire fixed plan infeasible.</x:v>
      </x:c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1" customHeight="1">
      <x:c r="A29" s="2"/>
      <x:c r="B29" s="2" t="str">
        <x:v>Cash flows after a breach are counterfactual, not realizable results.</x:v>
      </x:c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1" customHeight="1">
      <x:c r="A30" s="2"/>
      <x:c r="B30" s="2" t="str">
        <x:v>NPV excludes debt draw, repayment and interest to avoid double counting.</x:v>
      </x:c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1" customHeight="1">
      <x:c r="A31" s="2"/>
      <x:c r="B31" s="2" t="str">
        <x:v>Rows 21-22 are terminal audit checks, not inputs to the model.</x:v>
      </x:c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</x:sheetData>
  <x:conditionalFormatting sqref="F16:K16">
    <x:cfRule type="expression" dxfId="0" priority="1">
      <x:formula>F16&lt;F17</x:formula>
    </x:cfRule>
  </x:conditionalFormatting>
  <x:conditionalFormatting sqref="F21:K22">
    <x:cfRule type="expression" dxfId="1" priority="2">
      <x:formula>ABS(F21)&gt;0.00000001</x:formula>
    </x:cfRule>
  </x:conditionalFormatting>
  <x:pageMargins left="0.7" right="0.7" top="0.75" bottom="0.75" header="0.3" footer="0.3"/>
</x:worksheet>
</file>