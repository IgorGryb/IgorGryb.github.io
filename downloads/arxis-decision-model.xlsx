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a52c53204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c6c57eee7d2a48d0"/>
    <x:sheet xmlns:r="http://schemas.openxmlformats.org/officeDocument/2006/relationships" name="Inputs" sheetId="2" r:id="R6e1fe20aa416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;(#,##0.00);&quot;-&quot;"/>
    <x:numFmt numFmtId="202" formatCode="General"/>
    <x:numFmt numFmtId="203" formatCode="0.0"/>
  </x:numFmts>
  <x:fonts count="8">
    <x:font>
      <x:sz val="11"/>
      <x:name val="Carlito"/>
    </x:font>
    <x:font>
      <x:sz val="10"/>
      <x:color rgb="FF20364C"/>
      <x:name val="Arial"/>
    </x:font>
    <x:font>
      <x:b/>
      <x:sz val="15"/>
      <x:color rgb="FF20364C"/>
      <x:name val="Arial"/>
    </x:font>
    <x:font>
      <x:sz val="10"/>
      <x:color rgb="FF0000CC"/>
      <x:name val="Arial"/>
    </x:font>
    <x:font>
      <x:sz val="10"/>
      <x:color rgb="FF00804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2"/>
      <x:color rgb="FF2036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3"/>
      </x:patternFill>
    </x:fill>
    <x:fill>
      <x:patternFill patternType="solid">
        <x:fgColor rgb="FF20364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5C2CE"/>
      </x:bottom>
      <x:diagonal/>
    </x:border>
    <x:border>
      <x:left style="dotted">
        <x:color rgb="FF7B8B9A"/>
      </x:left>
      <x:right style="dotted">
        <x:color rgb="FF7B8B9A"/>
      </x:right>
      <x:top style="dotted">
        <x:color rgb="FF7B8B9A"/>
      </x:top>
      <x:bottom style="dotted">
        <x:color rgb="FF7B8B9A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37b5f3e8445cf" /><Relationship Type="http://schemas.openxmlformats.org/officeDocument/2006/relationships/theme" Target="/xl/theme/theme1.xml" Id="R95385bd737374e6e" /><Relationship Type="http://schemas.openxmlformats.org/officeDocument/2006/relationships/sharedStrings" Target="/xl/sharedStrings.xml" Id="Rb291c5e6e5064ec2" /><Relationship Type="http://schemas.openxmlformats.org/officeDocument/2006/relationships/worksheet" Target="/xl/worksheets/sheet1.xml" Id="Rc6c57eee7d2a48d0" /><Relationship Type="http://schemas.openxmlformats.org/officeDocument/2006/relationships/worksheet" Target="/xl/worksheets/sheet2.xml" Id="R6e1fe20aa416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ARXIS operating economics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selected</x:v>
      </x:c>
      <x:c r="C4" s="2"/>
      <x:c r="D4" s="10" t="str">
        <x:f>CHOOSE('Inputs'!D4,"Base","Downside")</x:f>
        <x:v>Base</x:v>
      </x:c>
      <x:c r="E4" s="2"/>
      <x:c r="F4" s="2"/>
      <x:c r="G4" s="2"/>
      <x:c r="H4" s="2"/>
    </x:row>
    <x:row r="5" ht="21" customHeight="1">
      <x:c r="A5" s="2"/>
      <x:c r="B5" s="2" t="str">
        <x:v>Synthetic assumptions. EUR/change.</x:v>
      </x:c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19" t="str">
        <x:v>Decision measures</x:v>
      </x:c>
      <x:c r="C7" s="19"/>
      <x:c r="D7" s="19"/>
      <x:c r="E7" s="2"/>
      <x:c r="F7" s="2"/>
      <x:c r="G7" s="2"/>
      <x:c r="H7" s="2"/>
    </x:row>
    <x:row r="8" ht="21" customHeight="1">
      <x:c r="A8" s="2"/>
      <x:c r="B8" s="2" t="str">
        <x:v>Coordination cost (EUR/change)</x:v>
      </x:c>
      <x:c r="C8" s="2"/>
      <x:c r="D8" s="22" t="n">
        <x:f>D21</x:f>
        <x:v>250</x:v>
      </x:c>
      <x:c r="E8" s="2"/>
      <x:c r="F8" s="2"/>
      <x:c r="G8" s="2"/>
      <x:c r="H8" s="2"/>
    </x:row>
    <x:row r="9" ht="21" customHeight="1">
      <x:c r="A9" s="2"/>
      <x:c r="B9" s="2" t="str">
        <x:v>Labor cost (EUR/change)</x:v>
      </x:c>
      <x:c r="C9" s="2"/>
      <x:c r="D9" s="22" t="n">
        <x:f>D19</x:f>
        <x:v>240</x:v>
      </x:c>
      <x:c r="E9" s="2"/>
      <x:c r="F9" s="2"/>
      <x:c r="G9" s="2"/>
      <x:c r="H9" s="2"/>
    </x:row>
    <x:row r="10" ht="21" customHeight="1">
      <x:c r="A10" s="2"/>
      <x:c r="B10" s="2" t="str">
        <x:v>Tool cost (EUR/change)</x:v>
      </x:c>
      <x:c r="C10" s="2"/>
      <x:c r="D10" s="22" t="n">
        <x:f>D20</x:f>
        <x:v>10</x:v>
      </x:c>
      <x:c r="E10" s="2"/>
      <x:c r="F10" s="2"/>
      <x:c r="G10" s="2"/>
      <x:c r="H10" s="2"/>
    </x:row>
    <x:row r="11" ht="21" customHeight="1">
      <x:c r="A11" s="2"/>
      <x:c r="B11" s="2"/>
      <x:c r="C11" s="2"/>
      <x:c r="D11" s="23"/>
      <x:c r="E11" s="2"/>
      <x:c r="F11" s="2"/>
      <x:c r="G11" s="2"/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9" t="str">
        <x:v>Calculation</x:v>
      </x:c>
      <x:c r="C16" s="19"/>
      <x:c r="D16" s="19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 t="str">
        <x:v>Inputs valid (1 yes, 0 no)</x:v>
      </x:c>
      <x:c r="C18" s="2"/>
      <x:c r="D18" s="21" t="b">
        <x:f>AND('Inputs'!D4&gt;=1,'Inputs'!D4&lt;=2,INT('Inputs'!D4)='Inputs'!D4,ISNUMBER('Inputs'!D8),ISNUMBER('Inputs'!D12),ISNUMBER('Inputs'!D16),'Inputs'!D8&gt;=0,'Inputs'!D12&gt;=0,'Inputs'!D16&gt;=0)</x:f>
        <x:v>1</x:v>
      </x:c>
      <x:c r="E18" s="2"/>
      <x:c r="F18" s="2"/>
      <x:c r="G18" s="2"/>
      <x:c r="H18" s="2"/>
    </x:row>
    <x:row r="19" ht="21" customHeight="1">
      <x:c r="A19" s="2"/>
      <x:c r="B19" s="2" t="str">
        <x:v>Coordination labor cost</x:v>
      </x:c>
      <x:c r="C19" s="2"/>
      <x:c r="D19" s="20" t="n">
        <x:f>IF(D18,'Inputs'!D8*'Inputs'!D12,NA())</x:f>
        <x:v>240</x:v>
      </x:c>
      <x:c r="E19" s="2"/>
      <x:c r="F19" s="2"/>
      <x:c r="G19" s="2"/>
      <x:c r="H19" s="2"/>
    </x:row>
    <x:row r="20" ht="21" customHeight="1">
      <x:c r="A20" s="2"/>
      <x:c r="B20" s="2" t="str">
        <x:v>Tool cost</x:v>
      </x:c>
      <x:c r="C20" s="2"/>
      <x:c r="D20" s="20" t="n">
        <x:f>'Inputs'!D16</x:f>
        <x:v>10</x:v>
      </x:c>
      <x:c r="E20" s="2"/>
      <x:c r="F20" s="2"/>
      <x:c r="G20" s="2"/>
      <x:c r="H20" s="2"/>
    </x:row>
    <x:row r="21" ht="21" customHeight="1">
      <x:c r="A21" s="2"/>
      <x:c r="B21" s="2" t="str">
        <x:v>Total change cost</x:v>
      </x:c>
      <x:c r="C21" s="2"/>
      <x:c r="D21" s="12" t="n">
        <x:f>SUM(D19:D20)</x:f>
        <x:v>250</x:v>
      </x:c>
      <x:c r="E21" s="2"/>
      <x:c r="F21" s="2"/>
      <x:c r="G21" s="2"/>
      <x:c r="H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 t="str">
        <x:v>Cost is not an observed saving or an engineering approval.</x:v>
      </x:c>
      <x:c r="C28" s="2"/>
      <x:c r="D28" s="2"/>
      <x:c r="E28" s="2"/>
      <x:c r="F28" s="2"/>
      <x:c r="G28" s="2"/>
      <x:c r="H28" s="2"/>
    </x:row>
    <x:row r="29" ht="21" customHeight="1">
      <x:c r="A29" s="2"/>
      <x:c r="B29" s="2" t="str">
        <x:v>The model excludes construction cost, delay damages and design risk.</x:v>
      </x:c>
      <x:c r="C29" s="2"/>
      <x:c r="D29" s="2"/>
      <x:c r="E29" s="2"/>
      <x:c r="F29" s="2"/>
      <x:c r="G29" s="2"/>
      <x:c r="H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Change Inputs to test the current case. One calculation updates all results.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Private planning view. A real decision requires observed inputs and review.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/>
      <x:c r="B35" s="19" t="str">
        <x:v>Independent review checks</x:v>
      </x:c>
      <x:c r="C35" s="19"/>
      <x:c r="D35" s="19"/>
      <x:c r="E35" s="2"/>
      <x:c r="F35" s="2"/>
      <x:c r="G35" s="2"/>
      <x:c r="H35" s="2"/>
    </x:row>
    <x:row r="36" ht="21" customHeight="1">
      <x:c r="A36" s="2"/>
      <x:c r="B36" s="2" t="str">
        <x:v>Missing active inputs</x:v>
      </x:c>
      <x:c r="C36" s="2"/>
      <x:c r="D36" s="12" t="n">
        <x:f>3-COUNT('Inputs'!D8,'Inputs'!D12,'Inputs'!D16)</x:f>
        <x:v>0</x:v>
      </x:c>
      <x:c r="E36" s="2"/>
      <x:c r="F36" s="2"/>
      <x:c r="G36" s="2"/>
      <x:c r="H36" s="2"/>
    </x:row>
    <x:row r="37" ht="21" customHeight="1">
      <x:c r="A37" s="2"/>
      <x:c r="B37" s="2" t="str">
        <x:v>Case valid (1 yes, 0 no)</x:v>
      </x:c>
      <x:c r="C37" s="2"/>
      <x:c r="D37" s="24" t="b">
        <x:f>AND('Inputs'!D4&gt;=1,'Inputs'!D4&lt;=2,INT('Inputs'!D4)='Inputs'!D4)</x:f>
        <x:v>1</x:v>
      </x:c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conditionalFormatting sqref="D36:D36">
    <x:cfRule type="expression" dxfId="0" priority="1">
      <x:formula>D36&lt;&gt;0</x:formula>
    </x:cfRule>
  </x:conditionalFormatting>
  <x:conditionalFormatting sqref="D18:D18">
    <x:cfRule type="expression" dxfId="1" priority="2">
      <x:formula>D18=FALSE</x:formula>
    </x:cfRule>
  </x:conditionalFormatting>
  <x:conditionalFormatting sqref="D8:D11">
    <x:cfRule type="expression" dxfId="2" priority="3">
      <x:formula>D8&lt;0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E96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ARXIS assumptions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selector (1 or 2)</x:v>
      </x:c>
      <x:c r="C4" s="2"/>
      <x:c r="D4" s="7" t="n">
        <x:v>1</x:v>
      </x:c>
      <x:c r="E4" s="2"/>
      <x:c r="F4" s="2" t="str">
        <x:v>1 Base, 2 Downside</x:v>
      </x:c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"/>
      <x:c r="C7" s="2"/>
      <x:c r="D7" s="2"/>
      <x:c r="E7" s="2"/>
      <x:c r="F7" s="2"/>
      <x:c r="G7" s="2"/>
      <x:c r="H7" s="2"/>
    </x:row>
    <x:row r="8" ht="21" customHeight="1">
      <x:c r="A8" s="2"/>
      <x:c r="B8" s="13" t="str">
        <x:v>Coordination hours - active</x:v>
      </x:c>
      <x:c r="C8" s="13"/>
      <x:c r="D8" s="14" t="n">
        <x:f>IF(COUNT(CHOOSE($D$4,D9,D10))=1,CHOOSE($D$4,D9,D10),NA())</x:f>
        <x:v>4</x:v>
      </x:c>
      <x:c r="E8" s="2"/>
      <x:c r="F8" s="2"/>
      <x:c r="G8" s="2"/>
      <x:c r="H8" s="2"/>
    </x:row>
    <x:row r="9" ht="21" customHeight="1">
      <x:c r="A9" s="2"/>
      <x:c r="B9" s="2" t="str">
        <x:v>Base</x:v>
      </x:c>
      <x:c r="C9" s="2"/>
      <x:c r="D9" s="17" t="n">
        <x:v>4</x:v>
      </x:c>
      <x:c r="E9" s="2"/>
      <x:c r="F9" s="2"/>
      <x:c r="G9" s="2"/>
      <x:c r="H9" s="2"/>
    </x:row>
    <x:row r="10" ht="21" customHeight="1">
      <x:c r="A10" s="2"/>
      <x:c r="B10" s="2" t="str">
        <x:v>Downside</x:v>
      </x:c>
      <x:c r="C10" s="2"/>
      <x:c r="D10" s="17" t="n">
        <x:v>8</x:v>
      </x:c>
      <x:c r="E10" s="2"/>
      <x:c r="F10" s="2"/>
      <x:c r="G10" s="2"/>
      <x:c r="H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</x:row>
    <x:row r="12" ht="21" customHeight="1">
      <x:c r="A12" s="2"/>
      <x:c r="B12" s="13" t="str">
        <x:v>Labor cost (EUR/hour) - active</x:v>
      </x:c>
      <x:c r="C12" s="13"/>
      <x:c r="D12" s="14" t="n">
        <x:f>IF(COUNT(CHOOSE($D$4,D13,D14))=1,CHOOSE($D$4,D13,D14),NA())</x:f>
        <x:v>60</x:v>
      </x:c>
      <x:c r="E12" s="2"/>
      <x:c r="F12" s="2"/>
      <x:c r="G12" s="2"/>
      <x:c r="H12" s="2"/>
    </x:row>
    <x:row r="13" ht="21" customHeight="1">
      <x:c r="A13" s="2"/>
      <x:c r="B13" s="2" t="str">
        <x:v>Base</x:v>
      </x:c>
      <x:c r="C13" s="2"/>
      <x:c r="D13" s="17" t="n">
        <x:v>60</x:v>
      </x:c>
      <x:c r="E13" s="2"/>
      <x:c r="F13" s="2"/>
      <x:c r="G13" s="2"/>
      <x:c r="H13" s="2"/>
    </x:row>
    <x:row r="14" ht="21" customHeight="1">
      <x:c r="A14" s="2"/>
      <x:c r="B14" s="2" t="str">
        <x:v>Downside</x:v>
      </x:c>
      <x:c r="C14" s="2"/>
      <x:c r="D14" s="17" t="n">
        <x:v>60</x:v>
      </x:c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3" t="str">
        <x:v>Tool cost (EUR/unit) - active</x:v>
      </x:c>
      <x:c r="C16" s="13"/>
      <x:c r="D16" s="14" t="n">
        <x:f>IF(COUNT(CHOOSE($D$4,D17,D18))=1,CHOOSE($D$4,D17,D18),NA())</x:f>
        <x:v>10</x:v>
      </x:c>
      <x:c r="E16" s="2"/>
      <x:c r="F16" s="2"/>
      <x:c r="G16" s="2"/>
      <x:c r="H16" s="2"/>
    </x:row>
    <x:row r="17" ht="21" customHeight="1">
      <x:c r="A17" s="2"/>
      <x:c r="B17" s="2" t="str">
        <x:v>Base</x:v>
      </x:c>
      <x:c r="C17" s="2"/>
      <x:c r="D17" s="17" t="n">
        <x:v>10</x:v>
      </x:c>
      <x:c r="E17" s="2"/>
      <x:c r="F17" s="2"/>
      <x:c r="G17" s="2"/>
      <x:c r="H17" s="2"/>
    </x:row>
    <x:row r="18" ht="21" customHeight="1">
      <x:c r="A18" s="2"/>
      <x:c r="B18" s="2" t="str">
        <x:v>Downside</x:v>
      </x:c>
      <x:c r="C18" s="2"/>
      <x:c r="D18" s="17" t="n">
        <x:v>10</x:v>
      </x:c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/>
      <x:c r="B30" s="2" t="str">
        <x:v>Amber cells are editable synthetic assumptions. Black cells calculate.</x:v>
      </x:c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Source: MGMT-CASES-001, 2026-10-26, change_coordination_cost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Archive: 00. ARCHIVE SYSTEM/portfolio/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 t="str">
        <x:v>MANAGEMENT-VALIDATION-CASES.yaml</x:v>
      </x:c>
      <x:c r="C33" s="2"/>
      <x:c r="D33" s="2"/>
      <x:c r="E33" s="2"/>
      <x:c r="F33" s="2"/>
      <x:c r="G33" s="2"/>
      <x:c r="H33" s="2"/>
    </x:row>
    <x:row r="34" ht="21" customHeight="1">
      <x:c r="A34" s="2"/>
      <x:c r="B34" s="2" t="str">
        <x:v>Base and downside use the same unit and inclusion rules.</x:v>
      </x:c>
      <x:c r="C34" s="2"/>
      <x:c r="D34" s="2"/>
      <x:c r="E34" s="2"/>
      <x:c r="F34" s="2"/>
      <x:c r="G34" s="2"/>
      <x:c r="H34" s="2"/>
    </x:row>
    <x:row r="35" ht="21" customHeight="1">
      <x:c r="A35" s="2"/>
      <x:c r="B35" s="2" t="str">
        <x:v>Blank input is unavailable, not zero. A missing inactive case is ignored.</x:v>
      </x:c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dataValidations count="1">
    <x:dataValidation type="list" sqref="D4">
      <x:formula1>"1,2"</x:formula1>
    </x:dataValidation>
  </x:dataValidations>
  <x:pageMargins left="0.7" right="0.7" top="0.75" bottom="0.75" header="0.3" footer="0.3"/>
</x:worksheet>
</file>